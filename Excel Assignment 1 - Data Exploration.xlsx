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556" activeTab="1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B43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B4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B41" i="2" l="1"/>
  <c r="B40" i="2"/>
  <c r="B39" i="2"/>
  <c r="B38" i="2"/>
  <c r="B37" i="2"/>
</calcChain>
</file>

<file path=xl/sharedStrings.xml><?xml version="1.0" encoding="utf-8"?>
<sst xmlns="http://schemas.openxmlformats.org/spreadsheetml/2006/main" count="169" uniqueCount="120">
  <si>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</si>
  <si>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</si>
  <si>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</si>
  <si>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</si>
  <si>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</si>
  <si>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</si>
  <si>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</si>
  <si>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</si>
  <si>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</si>
  <si>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</si>
  <si>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</si>
  <si>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</si>
  <si>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</si>
  <si>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</si>
  <si>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</si>
  <si>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</si>
  <si>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</si>
  <si>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</si>
  <si>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</si>
  <si>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</si>
  <si>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</si>
  <si>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</si>
  <si>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</si>
  <si>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</si>
  <si>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</si>
  <si>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</si>
  <si>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</si>
  <si>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</si>
  <si>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</si>
  <si>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</si>
  <si>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</si>
  <si>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</si>
  <si>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</si>
  <si>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</si>
  <si>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</si>
  <si>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</si>
  <si>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</si>
  <si>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</si>
  <si>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</si>
  <si>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</si>
  <si>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</si>
  <si>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</si>
  <si>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</si>
  <si>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</si>
  <si>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</si>
  <si>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</si>
  <si>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</si>
  <si>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</si>
  <si>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</si>
  <si>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</si>
  <si>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</si>
  <si>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</si>
  <si>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</si>
  <si>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</si>
  <si>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</si>
  <si>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</si>
  <si>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</si>
  <si>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</si>
  <si>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</si>
  <si>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</si>
  <si>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</si>
  <si>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</si>
  <si>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</si>
  <si>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</si>
  <si>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</si>
  <si>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</si>
  <si>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</si>
  <si>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</si>
  <si>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</si>
  <si>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</si>
  <si>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</si>
  <si>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</si>
  <si>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</si>
  <si>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</si>
  <si>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</si>
  <si>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</si>
  <si>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</si>
  <si>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</si>
  <si>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</si>
  <si>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</si>
  <si>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</si>
  <si>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</si>
  <si>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</si>
  <si>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</si>
  <si>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</si>
  <si>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</si>
  <si>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</si>
  <si>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</si>
  <si>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</si>
  <si>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</si>
  <si>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</si>
  <si>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</si>
  <si>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</si>
  <si>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</si>
  <si>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</si>
  <si>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</si>
  <si>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</si>
  <si>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</si>
  <si>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</si>
  <si>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</si>
  <si>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</si>
  <si>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</si>
  <si>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</si>
  <si>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</si>
  <si>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</si>
  <si>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</si>
  <si>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</si>
  <si>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</si>
  <si>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</si>
  <si>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Products=</t>
  </si>
  <si>
    <t>Average price of all the products=</t>
  </si>
  <si>
    <t>Maximium Price of all the products=</t>
  </si>
  <si>
    <t>Price Range</t>
  </si>
  <si>
    <t>1) Total Price of all products=</t>
  </si>
  <si>
    <t>2) Minimum Price of all the products=</t>
  </si>
  <si>
    <t>4)Total Price for products in the Electronics=</t>
  </si>
  <si>
    <t>Total count of products priced below 100=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</si>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</sst>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/>
    <xf numFmtId="0" fontId="9" fillId="0" borderId="0" xfId="0" applyFont="1" applyFill="1" applyAlignment="1"/>
    <xf numFmtId="0" fontId="8" fillId="0" borderId="0" xfId="0" applyFont="1" applyFill="1" applyAlignment="1"/>
    <xf numFmtId="0" fontId="10" fillId="0" borderId="0" xfId="0" applyFont="1" applyAlignment="1"/>
    <xf numFmtId="0" fontId="9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6" fillId="5" borderId="0" xfId="0" applyFont="1" applyFill="1"/>
    <xf numFmtId="0" fontId="0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F7FA"/>
      <color rgb="FF4DD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20" sqref="C20:L2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workbookViewId="0">
      <selection activeCell="D44" sqref="D44"/>
    </sheetView>
  </sheetViews>
  <sheetFormatPr defaultColWidth="12.6640625" defaultRowHeight="15" customHeight="1" x14ac:dyDescent="0.25"/>
  <cols>
    <col min="1" max="1" width="41.109375" bestFit="1" customWidth="1"/>
    <col min="2" max="2" width="14.109375" customWidth="1"/>
    <col min="3" max="6" width="12.6640625" customWidth="1"/>
    <col min="7" max="7" width="21.109375" bestFit="1" customWidth="1"/>
    <col min="8" max="8" width="25.5546875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112</v>
      </c>
      <c r="H1" s="13" t="s">
        <v>117</v>
      </c>
      <c r="I1" s="13" t="s">
        <v>118</v>
      </c>
      <c r="J1" s="13" t="s">
        <v>119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t="str">
        <f>LEFT(Dataset!A2,2)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5" t="str">
        <f t="shared" ref="G3:G35" si="0">IF(D3&gt;=500,"High Price","Standard Price")</f>
        <v>Standard Price</v>
      </c>
      <c r="H3" s="16" t="str">
        <f>LEFT(Dataset!A3,2)</f>
        <v>15</v>
      </c>
      <c r="I3" s="16" t="str">
        <f t="shared" ref="I3:I35" si="1">RIGHT(A3,2)</f>
        <v>US</v>
      </c>
      <c r="J3" s="16" t="str">
        <f t="shared" ref="J3:J35" si="2">MID(A3,4,3)</f>
        <v>FEB</v>
      </c>
    </row>
    <row r="4" spans="1:10" ht="15.75" customHeight="1" x14ac:dyDescent="0.25">
      <c r="A4" s="6"/>
      <c r="B4" s="6" t="s">
        <v>31</v>
      </c>
      <c r="C4" s="6" t="s">
        <v>32</v>
      </c>
      <c r="D4" s="6">
        <v>130</v>
      </c>
      <c r="E4" s="6">
        <v>40</v>
      </c>
      <c r="F4" s="6" t="s">
        <v>33</v>
      </c>
      <c r="G4" s="7" t="str">
        <f t="shared" si="0"/>
        <v>Standard Price</v>
      </c>
      <c r="H4" t="str">
        <f>LEFT(Dataset!A4,2)</f>
        <v/>
      </c>
      <c r="I4" t="str">
        <f t="shared" si="1"/>
        <v/>
      </c>
      <c r="J4" t="str">
        <f t="shared" si="2"/>
        <v/>
      </c>
    </row>
    <row r="5" spans="1:10" ht="15.75" customHeight="1" x14ac:dyDescent="0.25">
      <c r="A5" s="8" t="s">
        <v>34</v>
      </c>
      <c r="B5" s="8" t="s">
        <v>35</v>
      </c>
      <c r="C5" s="8" t="s">
        <v>36</v>
      </c>
      <c r="D5" s="8">
        <v>900</v>
      </c>
      <c r="E5" s="8">
        <v>25</v>
      </c>
      <c r="F5" s="8" t="s">
        <v>26</v>
      </c>
      <c r="G5" s="15" t="str">
        <f t="shared" si="0"/>
        <v>High Price</v>
      </c>
      <c r="H5" s="16" t="str">
        <f>LEFT(Dataset!A5,2)</f>
        <v>11</v>
      </c>
      <c r="I5" s="16" t="str">
        <f t="shared" si="1"/>
        <v>US</v>
      </c>
      <c r="J5" s="16" t="str">
        <f t="shared" si="2"/>
        <v>APR</v>
      </c>
    </row>
    <row r="6" spans="1:10" ht="15.75" customHeight="1" x14ac:dyDescent="0.25">
      <c r="A6" s="6" t="s">
        <v>37</v>
      </c>
      <c r="B6" s="6" t="s">
        <v>38</v>
      </c>
      <c r="C6" s="6" t="s">
        <v>39</v>
      </c>
      <c r="D6" s="6">
        <v>70</v>
      </c>
      <c r="E6" s="6">
        <v>20</v>
      </c>
      <c r="F6" s="6" t="s">
        <v>40</v>
      </c>
      <c r="G6" s="7" t="str">
        <f t="shared" si="0"/>
        <v>Standard Price</v>
      </c>
      <c r="H6" t="str">
        <f>LEFT(Dataset!A6,2)</f>
        <v>22</v>
      </c>
      <c r="I6" t="str">
        <f t="shared" si="1"/>
        <v>US</v>
      </c>
      <c r="J6" t="str">
        <f t="shared" si="2"/>
        <v>MAY</v>
      </c>
    </row>
    <row r="7" spans="1:10" ht="15.75" customHeight="1" x14ac:dyDescent="0.25">
      <c r="A7" s="8" t="s">
        <v>41</v>
      </c>
      <c r="B7" s="8" t="s">
        <v>42</v>
      </c>
      <c r="C7" s="8" t="s">
        <v>43</v>
      </c>
      <c r="D7" s="8">
        <v>200</v>
      </c>
      <c r="E7" s="8">
        <v>45</v>
      </c>
      <c r="F7" s="8" t="s">
        <v>26</v>
      </c>
      <c r="G7" s="15" t="str">
        <f t="shared" si="0"/>
        <v>Standard Price</v>
      </c>
      <c r="H7" s="16" t="str">
        <f>LEFT(Dataset!A7,2)</f>
        <v>07</v>
      </c>
      <c r="I7" s="16" t="str">
        <f t="shared" si="1"/>
        <v>UK</v>
      </c>
      <c r="J7" s="16" t="str">
        <f t="shared" si="2"/>
        <v>JUN</v>
      </c>
    </row>
    <row r="8" spans="1:10" ht="15.75" customHeight="1" x14ac:dyDescent="0.25">
      <c r="A8" s="6" t="s">
        <v>44</v>
      </c>
      <c r="B8" s="6" t="s">
        <v>45</v>
      </c>
      <c r="C8" s="6" t="s">
        <v>46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t="str">
        <f>LEFT(Dataset!A8,2)</f>
        <v>19</v>
      </c>
      <c r="I8" t="str">
        <f t="shared" si="1"/>
        <v>UK</v>
      </c>
      <c r="J8" t="str">
        <f t="shared" si="2"/>
        <v>JUL</v>
      </c>
    </row>
    <row r="9" spans="1:10" ht="15.75" customHeight="1" x14ac:dyDescent="0.25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33</v>
      </c>
      <c r="G9" s="15" t="str">
        <f t="shared" si="0"/>
        <v>Standard Price</v>
      </c>
      <c r="H9" s="16" t="str">
        <f>LEFT(Dataset!A9,2)</f>
        <v>23</v>
      </c>
      <c r="I9" s="16" t="str">
        <f t="shared" si="1"/>
        <v>UK</v>
      </c>
      <c r="J9" s="16" t="str">
        <f t="shared" si="2"/>
        <v>AUG</v>
      </c>
    </row>
    <row r="10" spans="1:10" ht="15.75" customHeight="1" x14ac:dyDescent="0.25">
      <c r="A10" s="6" t="s">
        <v>50</v>
      </c>
      <c r="B10" s="6" t="s">
        <v>51</v>
      </c>
      <c r="C10" s="6" t="s">
        <v>52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t="str">
        <f>LEFT(Dataset!A10,2)</f>
        <v>05</v>
      </c>
      <c r="I10" t="str">
        <f t="shared" si="1"/>
        <v>UK</v>
      </c>
      <c r="J10" t="str">
        <f t="shared" si="2"/>
        <v>SEP</v>
      </c>
    </row>
    <row r="11" spans="1:10" ht="15.75" customHeight="1" x14ac:dyDescent="0.25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40</v>
      </c>
      <c r="G11" s="15" t="str">
        <f t="shared" si="0"/>
        <v>Standard Price</v>
      </c>
      <c r="H11" s="16" t="str">
        <f>LEFT(Dataset!A11,2)</f>
        <v>14</v>
      </c>
      <c r="I11" s="16" t="str">
        <f t="shared" si="1"/>
        <v>UK</v>
      </c>
      <c r="J11" s="16" t="str">
        <f t="shared" si="2"/>
        <v>OCT</v>
      </c>
    </row>
    <row r="12" spans="1:10" ht="15.75" customHeight="1" x14ac:dyDescent="0.25">
      <c r="A12" s="6" t="s">
        <v>56</v>
      </c>
      <c r="B12" s="6" t="s">
        <v>24</v>
      </c>
      <c r="C12" s="6" t="s">
        <v>57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t="str">
        <f>LEFT(Dataset!A12,2)</f>
        <v>17</v>
      </c>
      <c r="I12" t="str">
        <f t="shared" si="1"/>
        <v>IN</v>
      </c>
      <c r="J12" t="str">
        <f t="shared" si="2"/>
        <v>JUN</v>
      </c>
    </row>
    <row r="13" spans="1:10" ht="15.75" customHeight="1" x14ac:dyDescent="0.25">
      <c r="A13" s="8" t="s">
        <v>58</v>
      </c>
      <c r="B13" s="8" t="s">
        <v>28</v>
      </c>
      <c r="C13" s="8" t="s">
        <v>46</v>
      </c>
      <c r="D13" s="8">
        <v>90</v>
      </c>
      <c r="E13" s="8">
        <v>40</v>
      </c>
      <c r="F13" s="8" t="s">
        <v>30</v>
      </c>
      <c r="G13" s="15" t="str">
        <f t="shared" si="0"/>
        <v>Standard Price</v>
      </c>
      <c r="H13" s="16" t="str">
        <f>LEFT(Dataset!A13,2)</f>
        <v>25</v>
      </c>
      <c r="I13" s="16" t="str">
        <f t="shared" si="1"/>
        <v>AU</v>
      </c>
      <c r="J13" s="16" t="str">
        <f t="shared" si="2"/>
        <v>NOV</v>
      </c>
    </row>
    <row r="14" spans="1:10" ht="15.75" customHeight="1" x14ac:dyDescent="0.25">
      <c r="A14" s="6" t="s">
        <v>59</v>
      </c>
      <c r="B14" s="6" t="s">
        <v>31</v>
      </c>
      <c r="C14" s="6" t="s">
        <v>60</v>
      </c>
      <c r="D14" s="6">
        <v>120</v>
      </c>
      <c r="E14" s="6">
        <v>35</v>
      </c>
      <c r="F14" s="6" t="s">
        <v>33</v>
      </c>
      <c r="G14" s="7" t="str">
        <f t="shared" si="0"/>
        <v>Standard Price</v>
      </c>
      <c r="H14" t="str">
        <f>LEFT(Dataset!A14,2)</f>
        <v>08</v>
      </c>
      <c r="I14" t="str">
        <f t="shared" si="1"/>
        <v>DE</v>
      </c>
      <c r="J14" t="str">
        <f t="shared" si="2"/>
        <v>DEC</v>
      </c>
    </row>
    <row r="15" spans="1:10" ht="15.75" customHeight="1" x14ac:dyDescent="0.25">
      <c r="A15" s="8" t="s">
        <v>61</v>
      </c>
      <c r="B15" s="8" t="s">
        <v>62</v>
      </c>
      <c r="C15" s="8" t="s">
        <v>63</v>
      </c>
      <c r="D15" s="8">
        <v>150</v>
      </c>
      <c r="E15" s="8">
        <v>15</v>
      </c>
      <c r="F15" s="8" t="s">
        <v>26</v>
      </c>
      <c r="G15" s="15" t="str">
        <f t="shared" si="0"/>
        <v>Standard Price</v>
      </c>
      <c r="H15" s="16" t="str">
        <f>LEFT(Dataset!A15,2)</f>
        <v>18</v>
      </c>
      <c r="I15" s="16" t="str">
        <f t="shared" si="1"/>
        <v>CA</v>
      </c>
      <c r="J15" s="16" t="str">
        <f t="shared" si="2"/>
        <v>FEB</v>
      </c>
    </row>
    <row r="16" spans="1:10" ht="15.75" customHeight="1" x14ac:dyDescent="0.25">
      <c r="A16" s="6" t="s">
        <v>64</v>
      </c>
      <c r="B16" s="6" t="s">
        <v>42</v>
      </c>
      <c r="C16" s="6" t="s">
        <v>65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t="str">
        <f>LEFT(Dataset!A16,2)</f>
        <v>16</v>
      </c>
      <c r="I16" t="str">
        <f t="shared" si="1"/>
        <v>ES</v>
      </c>
      <c r="J16" t="str">
        <f t="shared" si="2"/>
        <v>APR</v>
      </c>
    </row>
    <row r="17" spans="1:10" ht="15.75" customHeight="1" x14ac:dyDescent="0.25">
      <c r="A17" s="8" t="s">
        <v>66</v>
      </c>
      <c r="B17" s="8" t="s">
        <v>67</v>
      </c>
      <c r="C17" s="8" t="s">
        <v>68</v>
      </c>
      <c r="D17" s="8">
        <v>50</v>
      </c>
      <c r="E17" s="8">
        <v>35</v>
      </c>
      <c r="F17" s="8" t="s">
        <v>69</v>
      </c>
      <c r="G17" s="15" t="str">
        <f t="shared" si="0"/>
        <v>Standard Price</v>
      </c>
      <c r="H17" s="16" t="str">
        <f>LEFT(Dataset!A17,2)</f>
        <v>21</v>
      </c>
      <c r="I17" s="16" t="str">
        <f t="shared" si="1"/>
        <v>CA</v>
      </c>
      <c r="J17" s="16" t="str">
        <f t="shared" si="2"/>
        <v>AUG</v>
      </c>
    </row>
    <row r="18" spans="1:10" ht="15.75" customHeight="1" x14ac:dyDescent="0.25">
      <c r="A18" s="6" t="s">
        <v>70</v>
      </c>
      <c r="B18" s="6" t="s">
        <v>62</v>
      </c>
      <c r="C18" s="6" t="s">
        <v>71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t="str">
        <f>LEFT(Dataset!A18,2)</f>
        <v>20</v>
      </c>
      <c r="I18" t="str">
        <f t="shared" si="1"/>
        <v>CN</v>
      </c>
      <c r="J18" t="str">
        <f t="shared" si="2"/>
        <v>AUG</v>
      </c>
    </row>
    <row r="19" spans="1:10" ht="15.75" customHeight="1" x14ac:dyDescent="0.25">
      <c r="A19" s="8" t="s">
        <v>72</v>
      </c>
      <c r="B19" s="8" t="s">
        <v>24</v>
      </c>
      <c r="C19" s="8" t="s">
        <v>73</v>
      </c>
      <c r="D19" s="8">
        <v>980</v>
      </c>
      <c r="E19" s="8">
        <v>10</v>
      </c>
      <c r="F19" s="8" t="s">
        <v>26</v>
      </c>
      <c r="G19" s="15" t="str">
        <f t="shared" si="0"/>
        <v>High Price</v>
      </c>
      <c r="H19" s="16" t="str">
        <f>LEFT(Dataset!A19,2)</f>
        <v>27</v>
      </c>
      <c r="I19" s="16" t="str">
        <f t="shared" si="1"/>
        <v>IT</v>
      </c>
      <c r="J19" s="16" t="str">
        <f t="shared" si="2"/>
        <v>JAN</v>
      </c>
    </row>
    <row r="20" spans="1:10" ht="15.75" customHeight="1" x14ac:dyDescent="0.25">
      <c r="A20" s="6" t="s">
        <v>74</v>
      </c>
      <c r="B20" s="6" t="s">
        <v>75</v>
      </c>
      <c r="C20" s="6" t="s">
        <v>76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t="str">
        <f>LEFT(Dataset!A20,2)</f>
        <v>01</v>
      </c>
      <c r="I20" t="str">
        <f t="shared" si="1"/>
        <v>UK</v>
      </c>
      <c r="J20" t="str">
        <f t="shared" si="2"/>
        <v>MAR</v>
      </c>
    </row>
    <row r="21" spans="1:10" ht="15.75" customHeight="1" x14ac:dyDescent="0.25">
      <c r="A21" s="8" t="s">
        <v>77</v>
      </c>
      <c r="B21" s="8" t="s">
        <v>78</v>
      </c>
      <c r="C21" s="8" t="s">
        <v>79</v>
      </c>
      <c r="D21" s="8">
        <v>200</v>
      </c>
      <c r="E21" s="8">
        <v>10</v>
      </c>
      <c r="F21" s="8" t="s">
        <v>40</v>
      </c>
      <c r="G21" s="15" t="str">
        <f t="shared" si="0"/>
        <v>Standard Price</v>
      </c>
      <c r="H21" s="16" t="str">
        <f>LEFT(Dataset!A21,2)</f>
        <v>14</v>
      </c>
      <c r="I21" s="16" t="str">
        <f t="shared" si="1"/>
        <v>US</v>
      </c>
      <c r="J21" s="16" t="str">
        <f t="shared" si="2"/>
        <v>AUG</v>
      </c>
    </row>
    <row r="22" spans="1:10" ht="15.75" customHeight="1" x14ac:dyDescent="0.25">
      <c r="A22" s="6" t="s">
        <v>80</v>
      </c>
      <c r="B22" s="6" t="s">
        <v>81</v>
      </c>
      <c r="C22" s="6" t="s">
        <v>82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t="str">
        <f>LEFT(Dataset!A22,2)</f>
        <v>14</v>
      </c>
      <c r="I22" t="str">
        <f t="shared" si="1"/>
        <v>RU</v>
      </c>
      <c r="J22" t="str">
        <f t="shared" si="2"/>
        <v>MAY</v>
      </c>
    </row>
    <row r="23" spans="1:10" ht="15.75" customHeight="1" x14ac:dyDescent="0.25">
      <c r="A23" s="8" t="s">
        <v>83</v>
      </c>
      <c r="B23" s="8" t="s">
        <v>84</v>
      </c>
      <c r="C23" s="8" t="s">
        <v>85</v>
      </c>
      <c r="D23" s="8">
        <v>80</v>
      </c>
      <c r="E23" s="8">
        <v>20</v>
      </c>
      <c r="F23" s="8" t="s">
        <v>33</v>
      </c>
      <c r="G23" s="15" t="str">
        <f t="shared" si="0"/>
        <v>Standard Price</v>
      </c>
      <c r="H23" s="16" t="str">
        <f>LEFT(Dataset!A23,2)</f>
        <v>09</v>
      </c>
      <c r="I23" s="16" t="str">
        <f t="shared" si="1"/>
        <v>CA</v>
      </c>
      <c r="J23" s="16" t="str">
        <f t="shared" si="2"/>
        <v>JAN</v>
      </c>
    </row>
    <row r="24" spans="1:10" ht="15.75" customHeight="1" x14ac:dyDescent="0.25">
      <c r="A24" s="6" t="s">
        <v>86</v>
      </c>
      <c r="B24" s="6" t="s">
        <v>87</v>
      </c>
      <c r="C24" s="6" t="s">
        <v>88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t="str">
        <f>LEFT(Dataset!A24,2)</f>
        <v>19</v>
      </c>
      <c r="I24" t="str">
        <f t="shared" si="1"/>
        <v>BR</v>
      </c>
      <c r="J24" t="str">
        <f t="shared" si="2"/>
        <v>JUL</v>
      </c>
    </row>
    <row r="25" spans="1:10" ht="15.75" customHeight="1" x14ac:dyDescent="0.25">
      <c r="A25" s="8" t="s">
        <v>66</v>
      </c>
      <c r="B25" s="8" t="s">
        <v>67</v>
      </c>
      <c r="C25" s="8" t="s">
        <v>68</v>
      </c>
      <c r="D25" s="8">
        <v>50</v>
      </c>
      <c r="E25" s="8">
        <v>35</v>
      </c>
      <c r="F25" s="8" t="s">
        <v>69</v>
      </c>
      <c r="G25" s="15" t="str">
        <f t="shared" si="0"/>
        <v>Standard Price</v>
      </c>
      <c r="H25" s="16" t="str">
        <f>LEFT(Dataset!A25,2)</f>
        <v>21</v>
      </c>
      <c r="I25" s="16" t="str">
        <f t="shared" si="1"/>
        <v>CA</v>
      </c>
      <c r="J25" s="16" t="str">
        <f t="shared" si="2"/>
        <v>AUG</v>
      </c>
    </row>
    <row r="26" spans="1:10" ht="15.75" customHeight="1" x14ac:dyDescent="0.25">
      <c r="A26" s="6" t="s">
        <v>89</v>
      </c>
      <c r="B26" s="6" t="s">
        <v>35</v>
      </c>
      <c r="C26" s="6" t="s">
        <v>90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t="str">
        <f>LEFT(Dataset!A26,2)</f>
        <v>29</v>
      </c>
      <c r="I26" t="str">
        <f t="shared" si="1"/>
        <v>CA</v>
      </c>
      <c r="J26" t="str">
        <f t="shared" si="2"/>
        <v>SEP</v>
      </c>
    </row>
    <row r="27" spans="1:10" ht="15.75" customHeight="1" x14ac:dyDescent="0.25">
      <c r="A27" s="8" t="s">
        <v>91</v>
      </c>
      <c r="B27" s="8" t="s">
        <v>75</v>
      </c>
      <c r="C27" s="8" t="s">
        <v>92</v>
      </c>
      <c r="D27" s="8">
        <v>130</v>
      </c>
      <c r="E27" s="8">
        <v>25</v>
      </c>
      <c r="F27" s="8" t="s">
        <v>30</v>
      </c>
      <c r="G27" s="15" t="str">
        <f t="shared" si="0"/>
        <v>Standard Price</v>
      </c>
      <c r="H27" s="16" t="str">
        <f>LEFT(Dataset!A27,2)</f>
        <v>03</v>
      </c>
      <c r="I27" s="16" t="str">
        <f t="shared" si="1"/>
        <v>CA</v>
      </c>
      <c r="J27" s="16" t="str">
        <f t="shared" si="2"/>
        <v>JUN</v>
      </c>
    </row>
    <row r="28" spans="1:10" ht="15.75" customHeight="1" x14ac:dyDescent="0.25">
      <c r="A28" s="6" t="s">
        <v>93</v>
      </c>
      <c r="B28" s="6" t="s">
        <v>48</v>
      </c>
      <c r="C28" s="6" t="s">
        <v>94</v>
      </c>
      <c r="D28" s="6">
        <v>400</v>
      </c>
      <c r="E28" s="6">
        <v>40</v>
      </c>
      <c r="F28" s="6" t="s">
        <v>33</v>
      </c>
      <c r="G28" s="7" t="str">
        <f t="shared" si="0"/>
        <v>Standard Price</v>
      </c>
      <c r="H28" t="str">
        <f>LEFT(Dataset!A28,2)</f>
        <v>11</v>
      </c>
      <c r="I28" t="str">
        <f t="shared" si="1"/>
        <v>CA</v>
      </c>
      <c r="J28" t="str">
        <f t="shared" si="2"/>
        <v>JUL</v>
      </c>
    </row>
    <row r="29" spans="1:10" ht="15.75" customHeight="1" x14ac:dyDescent="0.25">
      <c r="A29" s="8" t="s">
        <v>64</v>
      </c>
      <c r="B29" s="8" t="s">
        <v>42</v>
      </c>
      <c r="C29" s="8" t="s">
        <v>65</v>
      </c>
      <c r="D29" s="8">
        <v>230</v>
      </c>
      <c r="E29" s="8">
        <v>20</v>
      </c>
      <c r="F29" s="8" t="s">
        <v>26</v>
      </c>
      <c r="G29" s="15" t="str">
        <f t="shared" si="0"/>
        <v>Standard Price</v>
      </c>
      <c r="H29" s="16" t="str">
        <f>LEFT(Dataset!A29,2)</f>
        <v>16</v>
      </c>
      <c r="I29" s="16" t="str">
        <f t="shared" si="1"/>
        <v>ES</v>
      </c>
      <c r="J29" s="16" t="str">
        <f t="shared" si="2"/>
        <v>APR</v>
      </c>
    </row>
    <row r="30" spans="1:10" ht="15.75" customHeight="1" x14ac:dyDescent="0.25">
      <c r="A30" s="6" t="s">
        <v>95</v>
      </c>
      <c r="B30" s="6" t="s">
        <v>96</v>
      </c>
      <c r="C30" s="6" t="s">
        <v>97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t="str">
        <f>LEFT(Dataset!A30,2)</f>
        <v>07</v>
      </c>
      <c r="I30" t="str">
        <f t="shared" si="1"/>
        <v>CA</v>
      </c>
      <c r="J30" t="str">
        <f t="shared" si="2"/>
        <v>MAR</v>
      </c>
    </row>
    <row r="31" spans="1:10" ht="15.75" customHeight="1" x14ac:dyDescent="0.25">
      <c r="A31" s="8" t="s">
        <v>98</v>
      </c>
      <c r="B31" s="8" t="s">
        <v>99</v>
      </c>
      <c r="C31" s="8" t="s">
        <v>100</v>
      </c>
      <c r="D31" s="8">
        <v>40</v>
      </c>
      <c r="E31" s="8">
        <v>10</v>
      </c>
      <c r="F31" s="8" t="s">
        <v>33</v>
      </c>
      <c r="G31" s="15" t="str">
        <f t="shared" si="0"/>
        <v>Standard Price</v>
      </c>
      <c r="H31" s="16" t="str">
        <f>LEFT(Dataset!A31,2)</f>
        <v>13</v>
      </c>
      <c r="I31" s="16" t="str">
        <f t="shared" si="1"/>
        <v>CA</v>
      </c>
      <c r="J31" s="16" t="str">
        <f t="shared" si="2"/>
        <v>APR</v>
      </c>
    </row>
    <row r="32" spans="1:10" ht="15.75" customHeight="1" x14ac:dyDescent="0.25">
      <c r="A32" s="6" t="s">
        <v>101</v>
      </c>
      <c r="B32" s="6" t="s">
        <v>87</v>
      </c>
      <c r="C32" s="6" t="s">
        <v>102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t="str">
        <f>LEFT(Dataset!A32,2)</f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5">
      <c r="A33" s="8" t="s">
        <v>103</v>
      </c>
      <c r="B33" s="8" t="s">
        <v>104</v>
      </c>
      <c r="C33" s="8" t="s">
        <v>105</v>
      </c>
      <c r="D33" s="8">
        <v>50</v>
      </c>
      <c r="E33" s="8">
        <v>50</v>
      </c>
      <c r="F33" s="8" t="s">
        <v>30</v>
      </c>
      <c r="G33" s="15" t="str">
        <f t="shared" si="0"/>
        <v>Standard Price</v>
      </c>
      <c r="H33" s="16" t="str">
        <f>LEFT(Dataset!A33,2)</f>
        <v>02</v>
      </c>
      <c r="I33" s="16" t="str">
        <f t="shared" si="1"/>
        <v>CA</v>
      </c>
      <c r="J33" s="16" t="str">
        <f t="shared" si="2"/>
        <v>DEC</v>
      </c>
    </row>
    <row r="34" spans="1:10" ht="15.75" customHeight="1" x14ac:dyDescent="0.25">
      <c r="A34" s="6" t="s">
        <v>56</v>
      </c>
      <c r="B34" s="6" t="s">
        <v>24</v>
      </c>
      <c r="C34" s="6" t="s">
        <v>57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t="str">
        <f>LEFT(Dataset!A34,2)</f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5">
      <c r="A35" s="8" t="s">
        <v>106</v>
      </c>
      <c r="B35" s="8" t="s">
        <v>107</v>
      </c>
      <c r="C35" s="8" t="s">
        <v>108</v>
      </c>
      <c r="D35" s="8">
        <v>100</v>
      </c>
      <c r="E35" s="8">
        <v>20</v>
      </c>
      <c r="F35" s="8" t="s">
        <v>69</v>
      </c>
      <c r="G35" s="15" t="str">
        <f t="shared" si="0"/>
        <v>Standard Price</v>
      </c>
      <c r="H35" s="16" t="str">
        <f>LEFT(Dataset!A35,2)</f>
        <v>09</v>
      </c>
      <c r="I35" s="16" t="str">
        <f t="shared" si="1"/>
        <v>FR</v>
      </c>
      <c r="J35" s="16" t="str">
        <f t="shared" si="2"/>
        <v>JUL</v>
      </c>
    </row>
    <row r="36" spans="1:10" ht="15.75" customHeight="1" x14ac:dyDescent="0.25">
      <c r="A36" s="12"/>
      <c r="G36" s="7"/>
    </row>
    <row r="37" spans="1:10" ht="15.75" customHeight="1" x14ac:dyDescent="0.25">
      <c r="A37" s="10" t="s">
        <v>113</v>
      </c>
      <c r="B37" s="11">
        <f>SUM(D2:D35)</f>
        <v>10100</v>
      </c>
      <c r="G37" s="7"/>
    </row>
    <row r="38" spans="1:10" ht="15.75" customHeight="1" x14ac:dyDescent="0.25">
      <c r="A38" s="9" t="s">
        <v>109</v>
      </c>
      <c r="B38" s="9">
        <f>COUNT(D2:D35)</f>
        <v>34</v>
      </c>
      <c r="G38" s="7"/>
    </row>
    <row r="39" spans="1:10" ht="15.75" customHeight="1" x14ac:dyDescent="0.25">
      <c r="A39" s="9" t="s">
        <v>110</v>
      </c>
      <c r="B39" s="9">
        <f>AVERAGE(D2:D35)</f>
        <v>297.05882352941177</v>
      </c>
      <c r="G39" s="7"/>
    </row>
    <row r="40" spans="1:10" ht="15.75" customHeight="1" x14ac:dyDescent="0.25">
      <c r="A40" s="9" t="s">
        <v>114</v>
      </c>
      <c r="B40" s="9">
        <f>MIN(D2:D35)</f>
        <v>30</v>
      </c>
      <c r="G40" s="7"/>
    </row>
    <row r="41" spans="1:10" ht="15.75" customHeight="1" x14ac:dyDescent="0.25">
      <c r="A41" s="9" t="s">
        <v>111</v>
      </c>
      <c r="B41" s="9">
        <f>MAX(D2:D35)</f>
        <v>1000</v>
      </c>
      <c r="G41" s="7"/>
    </row>
    <row r="42" spans="1:10" ht="15.75" customHeight="1" x14ac:dyDescent="0.25">
      <c r="A42" s="9" t="s">
        <v>115</v>
      </c>
      <c r="B42" s="9">
        <f>SUMIF(F2:F35,"Electronics",D2:D35)</f>
        <v>8050</v>
      </c>
      <c r="G42" s="7"/>
    </row>
    <row r="43" spans="1:10" ht="15.75" customHeight="1" x14ac:dyDescent="0.25">
      <c r="A43" s="9" t="s">
        <v>116</v>
      </c>
      <c r="B43" s="9">
        <f>COUNTIF(D2:D35,"&lt;100")</f>
        <v>11</v>
      </c>
      <c r="G43" s="7"/>
    </row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2026-10-04T15:10:16Z</dcterms:created>
  <dcterms:modified xsi:type="dcterms:W3CDTF">2026-10-04T16:35:53Z</dcterms:modified>
</cp:coreProperties>
</file>